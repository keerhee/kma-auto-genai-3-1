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" sheetId="1" state="visible" r:id="rId1"/>
    <sheet xmlns:r="http://schemas.openxmlformats.org/officeDocument/2006/relationships" name="2025_제조사별" sheetId="2" state="visible" r:id="rId2"/>
    <sheet xmlns:r="http://schemas.openxmlformats.org/officeDocument/2006/relationships" name="연도별_추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2026년 8월(월간) 국내 EV 등록대수 1위 Model Y 9,638대 — 2위의 3.0배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'Top5'!D1</f>
            </strRef>
          </tx>
          <spPr>
            <a:solidFill xmlns:a="http://schemas.openxmlformats.org/drawingml/2006/main">
              <a:srgbClr val="1F5FAD"/>
            </a:solidFill>
            <a:ln xmlns:a="http://schemas.openxmlformats.org/drawingml/2006/main">
              <a:solidFill>
                <a:srgbClr val="1F5FAD"/>
              </a:solidFill>
              <a:prstDash val="solid"/>
            </a:ln>
          </spPr>
          <cat>
            <numRef>
              <f>'Top5'!$B$2:$B$6</f>
            </numRef>
          </cat>
          <val>
            <numRef>
              <f>'Top5'!$D$2:$D$6</f>
            </numRef>
          </val>
        </ser>
        <dLbls>
          <numFmt formatCode="#,##0;-#,##0;;" sourceLinked="0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국내 EV 신규등록 상위 3사 (KAMA(한국자동차모빌리티산업협회)/KAMA)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'2025_제조사별'!B1</f>
            </strRef>
          </tx>
          <spPr>
            <a:solidFill xmlns:a="http://schemas.openxmlformats.org/drawingml/2006/main">
              <a:srgbClr val="1F5FAD"/>
            </a:solidFill>
            <a:ln xmlns:a="http://schemas.openxmlformats.org/drawingml/2006/main">
              <a:solidFill>
                <a:srgbClr val="1F5FAD"/>
              </a:solidFill>
              <a:prstDash val="solid"/>
            </a:ln>
          </spPr>
          <cat>
            <numRef>
              <f>'2025_제조사별'!$A$2:$A$4</f>
            </numRef>
          </cat>
          <val>
            <numRef>
              <f>'2025_제조사별'!$B$2:$B$4</f>
            </numRef>
          </val>
        </ser>
        <dLbls>
          <numFmt formatCode="#,##0;-#,##0;;" sourceLinked="0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국내 전기차 연도별 신규등록 — 2022년 164,479대 → 2025년 220,896대</a:t>
            </a:r>
          </a:p>
        </rich>
      </tx>
    </title>
    <plotArea>
      <lineChart>
        <grouping val="standard"/>
        <ser>
          <idx val="0"/>
          <order val="0"/>
          <tx>
            <strRef>
              <f>'연도별_추이'!B1</f>
            </strRef>
          </tx>
          <spPr>
            <a:ln xmlns:a="http://schemas.openxmlformats.org/drawingml/2006/main" w="28000">
              <a:solidFill>
                <a:srgbClr val="1F5FA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'연도별_추이'!$A$2:$A$5</f>
            </numRef>
          </cat>
          <val>
            <numRef>
              <f>'연도별_추이'!$B$2:$B$5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2" customWidth="1" min="2" max="2"/>
    <col width="10" customWidth="1" min="3" max="3"/>
    <col width="11.2" customWidth="1" min="4" max="4"/>
    <col width="19.2" customWidth="1" min="5" max="5"/>
    <col width="60" customWidth="1" min="6" max="6"/>
    <col width="60" customWidth="1" min="7" max="7"/>
    <col width="14.4" customWidth="1" min="8" max="8"/>
  </cols>
  <sheetData>
    <row r="1">
      <c r="A1" s="1" t="inlineStr">
        <is>
          <t>순위</t>
        </is>
      </c>
      <c r="B1" s="1" t="inlineStr">
        <is>
          <t>모델명</t>
        </is>
      </c>
      <c r="C1" s="1" t="inlineStr">
        <is>
          <t>제조사</t>
        </is>
      </c>
      <c r="D1" s="1" t="inlineStr">
        <is>
          <t>등록대수(대)</t>
        </is>
      </c>
      <c r="E1" s="1" t="inlineStr">
        <is>
          <t>기준기간</t>
        </is>
      </c>
      <c r="F1" s="1" t="inlineStr">
        <is>
          <t>집계기준</t>
        </is>
      </c>
      <c r="G1" s="1" t="inlineStr">
        <is>
          <t>출처URL</t>
        </is>
      </c>
      <c r="H1" s="1" t="inlineStr">
        <is>
          <t>Top5 내 비중</t>
        </is>
      </c>
    </row>
    <row r="2">
      <c r="A2" t="n">
        <v>1</v>
      </c>
      <c r="B2" t="inlineStr">
        <is>
          <t>Model Y</t>
        </is>
      </c>
      <c r="C2" t="inlineStr">
        <is>
          <t>테슬라</t>
        </is>
      </c>
      <c r="D2" s="2" t="n">
        <v>9638</v>
      </c>
      <c r="E2" t="inlineStr">
        <is>
          <t>2026년 8월(월간)</t>
        </is>
      </c>
      <c r="F2" t="inlineStr">
        <is>
          <t>신규등록(기사 제목·본문은 '판매순위'로 표기, 수치는 '등록대수')</t>
        </is>
      </c>
      <c r="G2" t="inlineStr">
        <is>
          <t>https://www.autotribune.co.kr/news/articleView.html?idxno=45870</t>
        </is>
      </c>
      <c r="H2" s="3">
        <f>D2/SUM(D$2:D$6)</f>
        <v/>
      </c>
    </row>
    <row r="3">
      <c r="A3" t="n">
        <v>2</v>
      </c>
      <c r="B3" t="inlineStr">
        <is>
          <t>EV3</t>
        </is>
      </c>
      <c r="C3" t="inlineStr">
        <is>
          <t>기아</t>
        </is>
      </c>
      <c r="D3" s="2" t="n">
        <v>3174</v>
      </c>
      <c r="E3" t="inlineStr">
        <is>
          <t>2026년 8월(월간)</t>
        </is>
      </c>
      <c r="F3" t="inlineStr">
        <is>
          <t>신규등록(기사 표기 '판매순위')</t>
        </is>
      </c>
      <c r="G3" t="inlineStr">
        <is>
          <t>https://www.autotribune.co.kr/news/articleView.html?idxno=45870</t>
        </is>
      </c>
      <c r="H3" s="3">
        <f>D3/SUM(D$2:D$6)</f>
        <v/>
      </c>
    </row>
    <row r="4">
      <c r="A4" t="n">
        <v>3</v>
      </c>
      <c r="B4" t="inlineStr">
        <is>
          <t>EV5</t>
        </is>
      </c>
      <c r="C4" t="inlineStr">
        <is>
          <t>기아</t>
        </is>
      </c>
      <c r="D4" s="2" t="n">
        <v>3146</v>
      </c>
      <c r="E4" t="inlineStr">
        <is>
          <t>2026년 8월(월간)</t>
        </is>
      </c>
      <c r="F4" t="inlineStr">
        <is>
          <t>신규등록(기사 표기 '판매순위')</t>
        </is>
      </c>
      <c r="G4" t="inlineStr">
        <is>
          <t>https://www.autotribune.co.kr/news/articleView.html?idxno=45870</t>
        </is>
      </c>
      <c r="H4" s="3">
        <f>D4/SUM(D$2:D$6)</f>
        <v/>
      </c>
    </row>
    <row r="5">
      <c r="A5" t="n">
        <v>4</v>
      </c>
      <c r="B5" t="inlineStr">
        <is>
          <t>PV5</t>
        </is>
      </c>
      <c r="C5" t="inlineStr">
        <is>
          <t>기아</t>
        </is>
      </c>
      <c r="D5" s="2" t="n">
        <v>1744</v>
      </c>
      <c r="E5" t="inlineStr">
        <is>
          <t>2026년 8월(월간)</t>
        </is>
      </c>
      <c r="F5" t="inlineStr">
        <is>
          <t>신규등록(기사 표기 '판매순위')</t>
        </is>
      </c>
      <c r="G5" t="inlineStr">
        <is>
          <t>https://www.autotribune.co.kr/news/articleView.html?idxno=45870</t>
        </is>
      </c>
      <c r="H5" s="3">
        <f>D5/SUM(D$2:D$6)</f>
        <v/>
      </c>
    </row>
    <row r="6">
      <c r="A6" t="n">
        <v>5</v>
      </c>
      <c r="B6" t="inlineStr">
        <is>
          <t>아이오닉 5</t>
        </is>
      </c>
      <c r="C6" t="inlineStr">
        <is>
          <t>현대자동차</t>
        </is>
      </c>
      <c r="D6" s="2" t="n">
        <v>1359</v>
      </c>
      <c r="E6" t="inlineStr">
        <is>
          <t>2026년 8월(월간)</t>
        </is>
      </c>
      <c r="F6" t="inlineStr">
        <is>
          <t>신규등록(기사 표기 '판매순위')</t>
        </is>
      </c>
      <c r="G6" t="inlineStr">
        <is>
          <t>https://www.autotribune.co.kr/news/articleView.html?idxno=45870</t>
        </is>
      </c>
      <c r="H6" s="3">
        <f>D6/SUM(D$2:D$6)</f>
        <v/>
      </c>
    </row>
    <row r="8">
      <c r="A8" s="4" t="inlineStr">
        <is>
          <t>기준: 신규등록(기사 제목·본문은 '판매순위'로 표기, 수치는 '등록대수') · 기간: 2026년 8월(월간) · 출처: https://www.autotribune.co.kr/news/articleView.html?idxno=45870</t>
        </is>
      </c>
    </row>
    <row r="9">
      <c r="A9" s="4" t="inlineStr">
        <is>
          <t>입력 파일: Day2_국내EV판매_Top5_실데이터.csv</t>
        </is>
      </c>
    </row>
    <row r="10">
      <c r="A10" s="4" t="inlineStr">
        <is>
          <t>'Top5 내 비중'은 다섯 모델 합계 대비 비중이다. 시장 전체 점유율이 아니다(시장 전체 합계는 이 자료에 없음).</t>
        </is>
      </c>
    </row>
    <row r="11">
      <c r="A11" s="4" t="inlineStr">
        <is>
          <t>원문 기사는 '판매'로 표기했지만 수치는 등록 대수다.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2" customWidth="1" min="2" max="2"/>
    <col width="17.6" customWidth="1" min="3" max="3"/>
    <col width="10" customWidth="1" min="4" max="4"/>
    <col width="10" customWidth="1" min="5" max="5"/>
    <col width="60" customWidth="1" min="6" max="6"/>
    <col width="12.8" customWidth="1" min="7" max="7"/>
  </cols>
  <sheetData>
    <row r="1">
      <c r="A1" s="1" t="inlineStr">
        <is>
          <t>제조사</t>
        </is>
      </c>
      <c r="B1" s="1" t="inlineStr">
        <is>
          <t>신규등록(대)</t>
        </is>
      </c>
      <c r="C1" s="1" t="inlineStr">
        <is>
          <t>기준기간</t>
        </is>
      </c>
      <c r="D1" s="1" t="inlineStr">
        <is>
          <t>집계기준</t>
        </is>
      </c>
      <c r="E1" s="1" t="inlineStr">
        <is>
          <t>원자료기관</t>
        </is>
      </c>
      <c r="F1" s="1" t="inlineStr">
        <is>
          <t>출처URL</t>
        </is>
      </c>
      <c r="G1" s="1" t="inlineStr">
        <is>
          <t>전체 대비 비중</t>
        </is>
      </c>
    </row>
    <row r="2">
      <c r="A2" t="inlineStr">
        <is>
          <t>기아</t>
        </is>
      </c>
      <c r="B2" s="2" t="n">
        <v>60609</v>
      </c>
      <c r="C2" t="inlineStr">
        <is>
          <t>2025년 1~12월</t>
        </is>
      </c>
      <c r="D2" t="inlineStr">
        <is>
          <t>신규등록</t>
        </is>
      </c>
      <c r="E2" t="inlineStr">
        <is>
          <t>KAMA</t>
        </is>
      </c>
      <c r="F2" t="inlineStr">
        <is>
          <t>https://www.hankyung.com/article/202601201164P</t>
        </is>
      </c>
      <c r="G2" s="3">
        <f>B2/220177</f>
        <v/>
      </c>
    </row>
    <row r="3">
      <c r="A3" t="inlineStr">
        <is>
          <t>테슬라</t>
        </is>
      </c>
      <c r="B3" s="2" t="n">
        <v>59893</v>
      </c>
      <c r="C3" t="inlineStr">
        <is>
          <t>2025년 1~12월</t>
        </is>
      </c>
      <c r="D3" t="inlineStr">
        <is>
          <t>신규등록</t>
        </is>
      </c>
      <c r="E3" t="inlineStr">
        <is>
          <t>KAMA</t>
        </is>
      </c>
      <c r="F3" t="inlineStr">
        <is>
          <t>https://www.hankyung.com/article/202601201164P</t>
        </is>
      </c>
      <c r="G3" s="3">
        <f>B3/220177</f>
        <v/>
      </c>
    </row>
    <row r="4">
      <c r="A4" t="inlineStr">
        <is>
          <t>현대</t>
        </is>
      </c>
      <c r="B4" s="2" t="n">
        <v>55461</v>
      </c>
      <c r="C4" t="inlineStr">
        <is>
          <t>2025년 1~12월</t>
        </is>
      </c>
      <c r="D4" t="inlineStr">
        <is>
          <t>신규등록</t>
        </is>
      </c>
      <c r="E4" t="inlineStr">
        <is>
          <t>KAMA</t>
        </is>
      </c>
      <c r="F4" t="inlineStr">
        <is>
          <t>https://www.hankyung.com/article/202601201164P</t>
        </is>
      </c>
      <c r="G4" s="3">
        <f>B4/220177</f>
        <v/>
      </c>
    </row>
    <row r="6">
      <c r="A6" s="4" t="inlineStr">
        <is>
          <t>분모: 2025년 전체 전기차 신규등록 220,177대 (KAMA(한국자동차모빌리티산업협회)/KAMA, https://www.hankyung.com/article/202601201164P)</t>
        </is>
      </c>
    </row>
    <row r="7">
      <c r="A7" s="4" t="inlineStr">
        <is>
          <t>같은 해 총계가 다른 출처에서는 220,896대다 — 출처마다 집계 범위가 다르다.</t>
        </is>
      </c>
    </row>
    <row r="8">
      <c r="A8" s="4" t="inlineStr">
        <is>
          <t>표에 없는 나머지 제조사는 '기타'이며 이 자료로는 나눌 수 없다.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.8" customWidth="1" min="2" max="2"/>
    <col width="10" customWidth="1" min="3" max="3"/>
    <col width="60" customWidth="1" min="4" max="4"/>
    <col width="60" customWidth="1" min="5" max="5"/>
  </cols>
  <sheetData>
    <row r="1">
      <c r="A1" s="1" t="inlineStr">
        <is>
          <t>연도</t>
        </is>
      </c>
      <c r="B1" s="1" t="inlineStr">
        <is>
          <t>신규등록(대)</t>
        </is>
      </c>
      <c r="C1" s="1" t="inlineStr">
        <is>
          <t>집계기준</t>
        </is>
      </c>
      <c r="D1" s="1" t="inlineStr">
        <is>
          <t>출처URL</t>
        </is>
      </c>
      <c r="E1" s="1" t="inlineStr">
        <is>
          <t>비고</t>
        </is>
      </c>
    </row>
    <row r="2">
      <c r="A2" t="inlineStr">
        <is>
          <t>2022년</t>
        </is>
      </c>
      <c r="B2" s="2" t="n">
        <v>164479</v>
      </c>
      <c r="C2" t="inlineStr">
        <is>
          <t>신규등록</t>
        </is>
      </c>
      <c r="D2" t="inlineStr">
        <is>
          <t>https://www.dailycar.co.kr/content/news.html?type=view&amp;autoId=61352</t>
        </is>
      </c>
    </row>
    <row r="3">
      <c r="A3" t="inlineStr">
        <is>
          <t>2023년</t>
        </is>
      </c>
      <c r="B3" s="2" t="n">
        <v>162583</v>
      </c>
      <c r="C3" t="inlineStr">
        <is>
          <t>신규등록</t>
        </is>
      </c>
      <c r="D3" t="inlineStr">
        <is>
          <t>https://www.dailycar.co.kr/content/news.html?type=view&amp;autoId=61352</t>
        </is>
      </c>
    </row>
    <row r="4">
      <c r="A4" t="inlineStr">
        <is>
          <t>2024년</t>
        </is>
      </c>
      <c r="B4" s="2" t="n">
        <v>146882</v>
      </c>
      <c r="C4" t="inlineStr">
        <is>
          <t>신규등록</t>
        </is>
      </c>
      <c r="D4" t="inlineStr">
        <is>
          <t>https://www.dailycar.co.kr/content/news.html?type=view&amp;autoId=61352</t>
        </is>
      </c>
    </row>
    <row r="5">
      <c r="A5" t="inlineStr">
        <is>
          <t>2025년</t>
        </is>
      </c>
      <c r="B5" s="2" t="n">
        <v>220896</v>
      </c>
      <c r="C5" t="inlineStr">
        <is>
          <t>신규등록</t>
        </is>
      </c>
      <c r="D5" t="inlineStr">
        <is>
          <t>https://www.dailycar.co.kr/content/news.html?type=view&amp;autoId=61352</t>
        </is>
      </c>
      <c r="E5" t="inlineStr">
        <is>
          <t>KAMA 220,177대와 719대 차이 — 출처마다 집계 범위가 다름</t>
        </is>
      </c>
    </row>
    <row r="7">
      <c r="A7" s="4" t="inlineStr">
        <is>
          <t>기준: 신규등록 · 출처: https://www.dailycar.co.kr/content/news.html?type=view&amp;autoId=61352 (기사에 원자료기관 미명시)</t>
        </is>
      </c>
    </row>
    <row r="8">
      <c r="A8" s="4" t="inlineStr">
        <is>
          <t>월별 12개월 시계열은 믿을 만한 출처가 없어 연간 값으로 대신했다(input/data_README.md).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2026-10-17T10:36:34Z</dcterms:created>
  <dcterms:modified xmlns:dcterms="http://purl.org/dc/terms/" xmlns:xsi="http://www.w3.org/2001/XMLSchema-instance" xsi:type="dcterms:W3CDTF">2026-10-17T10:36:34Z</dcterms:modified>
</cp:coreProperties>
</file>